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ta_Analyst_Assignment\Spreadsheets\"/>
    </mc:Choice>
  </mc:AlternateContent>
  <xr:revisionPtr revIDLastSave="0" documentId="13_ncr:1_{89736BF2-0343-478D-BD67-F9C173981657}" xr6:coauthVersionLast="47" xr6:coauthVersionMax="47" xr10:uidLastSave="{00000000-0000-0000-0000-000000000000}"/>
  <bookViews>
    <workbookView xWindow="-108" yWindow="-108" windowWidth="23256" windowHeight="12456" xr2:uid="{144E5DA0-D9C2-4441-B99F-3C3A2AB694B9}"/>
  </bookViews>
  <sheets>
    <sheet name="Sheet3" sheetId="3" r:id="rId1"/>
    <sheet name="ticket" sheetId="1" r:id="rId2"/>
    <sheet name="feedbacks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G3" i="1"/>
  <c r="G2" i="1"/>
  <c r="F3" i="1"/>
  <c r="F2" i="1"/>
</calcChain>
</file>

<file path=xl/sharedStrings.xml><?xml version="1.0" encoding="utf-8"?>
<sst xmlns="http://schemas.openxmlformats.org/spreadsheetml/2006/main" count="27" uniqueCount="20">
  <si>
    <t>cms_id</t>
  </si>
  <si>
    <t>feedback_at</t>
  </si>
  <si>
    <t>feedback_rating</t>
  </si>
  <si>
    <t>ticket_created_at</t>
  </si>
  <si>
    <t>c1</t>
  </si>
  <si>
    <t>c2</t>
  </si>
  <si>
    <t>t1</t>
  </si>
  <si>
    <t xml:space="preserve">ticket_id </t>
  </si>
  <si>
    <t xml:space="preserve">created_at </t>
  </si>
  <si>
    <t>closed_at</t>
  </si>
  <si>
    <t>outlet_id</t>
  </si>
  <si>
    <t>o1</t>
  </si>
  <si>
    <t>o2</t>
  </si>
  <si>
    <t>Same Day?</t>
  </si>
  <si>
    <t>Same Hour?</t>
  </si>
  <si>
    <t>Row Labels</t>
  </si>
  <si>
    <t>No</t>
  </si>
  <si>
    <t>Grand Total</t>
  </si>
  <si>
    <t>Count of Same Day?</t>
  </si>
  <si>
    <t>Count of Same Hour?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</si>
</sst>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1.439174074076" createdVersion="8" refreshedVersion="8" minRefreshableVersion="3" recordCount="2" xr:uid="{C38A975F-F6EB-4058-8282-229079AE82F3}">
  <cacheSource type="worksheet">
    <worksheetSource ref="A1:G3" sheet="ticket"/>
  </cacheSource>
  <cacheFields count="10">
    <cacheField name="ticket_id " numFmtId="0">
      <sharedItems/>
    </cacheField>
    <cacheField name="created_at " numFmtId="168">
      <sharedItems containsSemiMixedTypes="0" containsNonDate="0" containsDate="1" containsString="0" minDate="2021-08-19T16:45:00" maxDate="2021-08-21T11:09:00"/>
    </cacheField>
    <cacheField name="closed_at" numFmtId="168">
      <sharedItems containsSemiMixedTypes="0" containsNonDate="0" containsDate="1" containsString="0" minDate="2021-08-21T17:13:00" maxDate="2021-08-22T12:33:00" count="2">
        <d v="2021-08-22T12:33:00"/>
        <d v="2021-08-21T17:13:00"/>
      </sharedItems>
      <fieldGroup par="9"/>
    </cacheField>
    <cacheField name="outlet_id" numFmtId="0">
      <sharedItems count="2">
        <s v="o1"/>
        <s v="o2"/>
      </sharedItems>
    </cacheField>
    <cacheField name="cms_id" numFmtId="0">
      <sharedItems count="2">
        <s v="c1"/>
        <s v="c2"/>
      </sharedItems>
    </cacheField>
    <cacheField name="Same Day?" numFmtId="0">
      <sharedItems count="2">
        <s v="No"/>
        <s v="Yes"/>
      </sharedItems>
    </cacheField>
    <cacheField name="Same Hour?" numFmtId="0">
      <sharedItems count="1">
        <s v="No"/>
      </sharedItems>
    </cacheField>
    <cacheField name="Minutes (closed_at)" numFmtId="0" databaseField="0">
      <fieldGroup base="2">
        <rangePr groupBy="minutes" startDate="2021-08-21T17:13:00" endDate="2021-08-22T12:33:00"/>
        <groupItems count="62">
          <s v="&lt;21-08-2021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2-08-2021"/>
        </groupItems>
      </fieldGroup>
    </cacheField>
    <cacheField name="Hours (closed_at)" numFmtId="0" databaseField="0">
      <fieldGroup base="2">
        <rangePr groupBy="hours" startDate="2021-08-21T17:13:00" endDate="2021-08-22T12:33:00"/>
        <groupItems count="26">
          <s v="&lt;21-08-2021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2-08-2021"/>
        </groupItems>
      </fieldGroup>
    </cacheField>
    <cacheField name="Days (closed_at)" numFmtId="0" databaseField="0">
      <fieldGroup base="2">
        <rangePr groupBy="days" startDate="2021-08-21T17:13:00" endDate="2021-08-22T12:33:00"/>
        <groupItems count="368">
          <s v="&lt;21-08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8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t1"/>
    <d v="2021-08-19T16:45:00"/>
    <x v="0"/>
    <x v="0"/>
    <x v="0"/>
    <x v="0"/>
    <x v="0"/>
  </r>
  <r>
    <s v="t1"/>
    <d v="2021-08-21T11:09:00"/>
    <x v="1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0B2B1-49B6-443C-9647-D819D732CCB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0">
    <pivotField showAll="0"/>
    <pivotField numFmtId="168" showAll="0"/>
    <pivotField numFmtId="168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axis="axisRow" dataField="1" showAll="0">
      <items count="2">
        <item x="0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2">
    <field x="3"/>
    <field x="6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 Day?" fld="5" subtotal="count" baseField="0" baseItem="0"/>
    <dataField name="Count of Same Hour?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3358-E743-4C57-AE25-C3A21E40C519}">
  <dimension ref="A3:C8"/>
  <sheetViews>
    <sheetView tabSelected="1" topLeftCell="A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44140625" bestFit="1" customWidth="1"/>
    <col min="3" max="3" width="18.33203125" bestFit="1" customWidth="1"/>
  </cols>
  <sheetData>
    <row r="3" spans="1:3" x14ac:dyDescent="0.3">
      <c r="A3" s="3" t="s">
        <v>15</v>
      </c>
      <c r="B3" t="s">
        <v>18</v>
      </c>
      <c r="C3" t="s">
        <v>19</v>
      </c>
    </row>
    <row r="4" spans="1:3" x14ac:dyDescent="0.3">
      <c r="A4" s="4" t="s">
        <v>11</v>
      </c>
      <c r="B4" s="1">
        <v>1</v>
      </c>
      <c r="C4" s="1">
        <v>1</v>
      </c>
    </row>
    <row r="5" spans="1:3" x14ac:dyDescent="0.3">
      <c r="A5" s="5" t="s">
        <v>16</v>
      </c>
      <c r="B5" s="1">
        <v>1</v>
      </c>
      <c r="C5" s="1">
        <v>1</v>
      </c>
    </row>
    <row r="6" spans="1:3" x14ac:dyDescent="0.3">
      <c r="A6" s="4" t="s">
        <v>12</v>
      </c>
      <c r="B6" s="1">
        <v>1</v>
      </c>
      <c r="C6" s="1">
        <v>1</v>
      </c>
    </row>
    <row r="7" spans="1:3" x14ac:dyDescent="0.3">
      <c r="A7" s="5" t="s">
        <v>16</v>
      </c>
      <c r="B7" s="1">
        <v>1</v>
      </c>
      <c r="C7" s="1">
        <v>1</v>
      </c>
    </row>
    <row r="8" spans="1:3" x14ac:dyDescent="0.3">
      <c r="A8" s="4" t="s">
        <v>17</v>
      </c>
      <c r="B8" s="1">
        <v>2</v>
      </c>
      <c r="C8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0D72-2E29-4BD2-B1EA-A0DE1730FA8C}">
  <dimension ref="A1:G3"/>
  <sheetViews>
    <sheetView workbookViewId="0">
      <selection sqref="A1:G3"/>
    </sheetView>
  </sheetViews>
  <sheetFormatPr defaultRowHeight="14.4" x14ac:dyDescent="0.3"/>
  <cols>
    <col min="2" max="2" width="20.88671875" style="2" customWidth="1"/>
    <col min="3" max="3" width="16.88671875" style="2" customWidth="1"/>
    <col min="4" max="4" width="17.77734375" customWidth="1"/>
    <col min="6" max="6" width="19.44140625" customWidth="1"/>
    <col min="7" max="7" width="17.6640625" customWidth="1"/>
  </cols>
  <sheetData>
    <row r="1" spans="1:7" x14ac:dyDescent="0.3">
      <c r="A1" t="s">
        <v>7</v>
      </c>
      <c r="B1" s="2" t="s">
        <v>8</v>
      </c>
      <c r="C1" s="2" t="s">
        <v>9</v>
      </c>
      <c r="D1" t="s">
        <v>10</v>
      </c>
      <c r="E1" t="s">
        <v>0</v>
      </c>
      <c r="F1" t="s">
        <v>13</v>
      </c>
      <c r="G1" t="s">
        <v>14</v>
      </c>
    </row>
    <row r="2" spans="1:7" x14ac:dyDescent="0.3">
      <c r="A2" t="s">
        <v>6</v>
      </c>
      <c r="B2" s="2">
        <v>44427.697916666664</v>
      </c>
      <c r="C2" s="2">
        <v>44430.522916666669</v>
      </c>
      <c r="D2" t="s">
        <v>11</v>
      </c>
      <c r="E2" t="s">
        <v>4</v>
      </c>
      <c r="F2" t="str">
        <f>IF(INT(B2)=INT(C2),"Yes","No")</f>
        <v>No</v>
      </c>
      <c r="G2" t="str">
        <f>IF(TEXT(B2,"yyyy-mm-dd hh")=TEXT(C2,"yyyy-mm-dd hh"),"Yes","No")</f>
        <v>No</v>
      </c>
    </row>
    <row r="3" spans="1:7" x14ac:dyDescent="0.3">
      <c r="A3" t="s">
        <v>6</v>
      </c>
      <c r="B3" s="2">
        <v>44429.464583333334</v>
      </c>
      <c r="C3" s="2">
        <v>44429.717361111114</v>
      </c>
      <c r="D3" t="s">
        <v>12</v>
      </c>
      <c r="E3" t="s">
        <v>5</v>
      </c>
      <c r="F3" t="str">
        <f>IF(INT(B3)=INT(C3),"Yes","No")</f>
        <v>Yes</v>
      </c>
      <c r="G3" t="str">
        <f>IF(TEXT(B3,"yyyy-mm-dd hh")=TEXT(C3,"yyyy-mm-dd hh"),"Yes","No")</f>
        <v>No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A4DB-D305-43BD-9AE5-EEF69E07664D}">
  <dimension ref="A1:D3"/>
  <sheetViews>
    <sheetView workbookViewId="0">
      <selection activeCell="F3" sqref="F3"/>
    </sheetView>
  </sheetViews>
  <sheetFormatPr defaultRowHeight="14.4" x14ac:dyDescent="0.3"/>
  <cols>
    <col min="2" max="2" width="19.5546875" style="2" customWidth="1"/>
    <col min="3" max="3" width="15.44140625" customWidth="1"/>
    <col min="4" max="4" width="24.109375" customWidth="1"/>
  </cols>
  <sheetData>
    <row r="1" spans="1:4" x14ac:dyDescent="0.3">
      <c r="A1" t="s">
        <v>0</v>
      </c>
      <c r="B1" s="2" t="s">
        <v>1</v>
      </c>
      <c r="C1" t="s">
        <v>2</v>
      </c>
      <c r="D1" t="s">
        <v>3</v>
      </c>
    </row>
    <row r="2" spans="1:4" x14ac:dyDescent="0.3">
      <c r="A2" t="s">
        <v>4</v>
      </c>
      <c r="B2" s="2">
        <v>44429.55972222222</v>
      </c>
      <c r="C2">
        <v>3</v>
      </c>
      <c r="D2">
        <f>INDEX(ticket!B:B, MATCH(A2, ticket!E:E, 0))</f>
        <v>44427.697916666664</v>
      </c>
    </row>
    <row r="3" spans="1:4" x14ac:dyDescent="0.3">
      <c r="A3" t="s">
        <v>5</v>
      </c>
      <c r="B3" s="2">
        <v>44430.416666666664</v>
      </c>
      <c r="C3">
        <v>4</v>
      </c>
      <c r="D3">
        <f>INDEX(ticket!B:B, MATCH(A3, ticket!E:E, 0))</f>
        <v>44429.464583333334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jadhav</dc:creator>
  <cp:lastModifiedBy>vaibhav jadhav</cp:lastModifiedBy>
  <dcterms:created xsi:type="dcterms:W3CDTF">2026-04-09T04:08:12Z</dcterms:created>
  <dcterms:modified xsi:type="dcterms:W3CDTF">2026-04-09T05:41:54Z</dcterms:modified>
</cp:coreProperties>
</file>